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orrentes" sheetId="1" state="visible" r:id="rId1"/>
    <sheet name="TCO_3anos" sheetId="2" state="visible" r:id="rId2"/>
    <sheet name="LTV_Ancoragem" sheetId="3" state="visible" r:id="rId3"/>
    <sheet name="Fo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;(R$ #,##0);-"/>
    <numFmt numFmtId="165" formatCode="R$ #,##0.00;(R$ #,##0.00);-"/>
    <numFmt numFmtId="166" formatCode="0.0&quot;x&quot;"/>
    <numFmt numFmtId="167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8A2BE2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0A0514"/>
      </patternFill>
    </fill>
    <fill>
      <patternFill patternType="solid">
        <fgColor rgb="00FFE6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4" borderId="1" pivotButton="0" quotePrefix="0" xfId="0"/>
    <xf numFmtId="0" fontId="4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3" fillId="2" borderId="0" pivotButton="0" quotePrefix="0" xfId="0"/>
    <xf numFmtId="0" fontId="0" fillId="2" borderId="0" pivotButton="0" quotePrefix="0" xfId="0"/>
    <xf numFmtId="164" fontId="6" fillId="4" borderId="1" pivotButton="0" quotePrefix="0" xfId="0"/>
    <xf numFmtId="1" fontId="6" fillId="4" borderId="1" pivotButton="0" quotePrefix="0" xfId="0"/>
    <xf numFmtId="164" fontId="5" fillId="0" borderId="0" pivotButton="0" quotePrefix="0" xfId="0"/>
    <xf numFmtId="167" fontId="4" fillId="0" borderId="1" pivotButton="0" quotePrefix="0" xfId="0"/>
    <xf numFmtId="0" fontId="4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Aceleradora EDU</author>
  </authors>
  <commentList>
    <comment ref="E5" authorId="0" shapeId="0">
      <text>
        <t>R$ 59,90/mês de manutenção a partir do 2º mês, mais R$ 8,90/mês adicionais citados no site da C2TI. Fonte: c2ti.com.br, consultado em 15/08/2026.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13" customWidth="1" min="5" max="5"/>
    <col width="15" customWidth="1" min="6" max="6"/>
    <col width="52" customWidth="1" min="7" max="7"/>
    <col width="26" customWidth="1" min="8" max="8"/>
    <col width="52" customWidth="1" min="9" max="9"/>
    <col width="26" customWidth="1" min="10" max="10"/>
  </cols>
  <sheetData>
    <row r="1">
      <c r="A1" s="1" t="inlineStr">
        <is>
          <t>Concorrentes — Criação de Sites | Aceleradora EDU</t>
        </is>
      </c>
    </row>
    <row r="2">
      <c r="A2" s="2" t="inlineStr">
        <is>
          <t>Levantamento em 15/08/2026. Valores em R$. Ver aba Fontes.</t>
        </is>
      </c>
    </row>
    <row r="4">
      <c r="A4" s="3" t="inlineStr">
        <is>
          <t>Concorrente</t>
        </is>
      </c>
      <c r="B4" s="3" t="inlineStr">
        <is>
          <t>Tipo</t>
        </is>
      </c>
      <c r="C4" s="3" t="inlineStr">
        <is>
          <t>Setup mín</t>
        </is>
      </c>
      <c r="D4" s="3" t="inlineStr">
        <is>
          <t>Setup máx</t>
        </is>
      </c>
      <c r="E4" s="3" t="inlineStr">
        <is>
          <t>Mensalidade</t>
        </is>
      </c>
      <c r="F4" s="3" t="inlineStr">
        <is>
          <t>Prazo prometido</t>
        </is>
      </c>
      <c r="G4" s="3" t="inlineStr">
        <is>
          <t>O que entrega</t>
        </is>
      </c>
      <c r="H4" s="3" t="inlineStr">
        <is>
          <t>Quem compra</t>
        </is>
      </c>
      <c r="I4" s="3" t="inlineStr">
        <is>
          <t>Ponto fraco (sua brecha)</t>
        </is>
      </c>
      <c r="J4" s="3" t="inlineStr">
        <is>
          <t>Confiança do dado</t>
        </is>
      </c>
    </row>
    <row r="5" ht="96" customHeight="1">
      <c r="A5" s="4" t="inlineStr">
        <is>
          <t>C2TI</t>
        </is>
      </c>
      <c r="B5" s="4" t="inlineStr">
        <is>
          <t>Fábrica de sites (volume, vende por Google Ads)</t>
        </is>
      </c>
      <c r="C5" s="5" t="n">
        <v>500</v>
      </c>
      <c r="D5" s="5" t="n">
        <v>1200</v>
      </c>
      <c r="E5" s="6" t="n">
        <v>59.9</v>
      </c>
      <c r="F5" s="4" t="inlineStr">
        <is>
          <t>5 dias úteis</t>
        </is>
      </c>
      <c r="G5" s="4" t="inlineStr">
        <is>
          <t>Site em CMS próprio (.aspx): páginas de texto, notícias, galeria de imagens e vídeos, página de contato e Google Maps. Garantia de 7 dias. +7.000 projetos entregues.</t>
        </is>
      </c>
      <c r="H5" s="4" t="inlineStr">
        <is>
          <t>PME de qualquer setor que clicou no anúncio</t>
        </is>
      </c>
      <c r="I5" s="4" t="inlineStr">
        <is>
          <t>Prazo real relatado no Reclame Aqui de 30 a 135 dias; template genérico; o site fica na plataforma deles (cliente não leva o código); zero pesquisa de conteúdo; sem SEO local dedicado; briga por reembolso</t>
        </is>
      </c>
      <c r="J5" s="4" t="inlineStr">
        <is>
          <t>Verificado — site + Reclame Aqui, ago/2026</t>
        </is>
      </c>
    </row>
    <row r="6" ht="96" customHeight="1">
      <c r="A6" s="4" t="inlineStr">
        <is>
          <t>Wix / Hostinger (faça você mesmo)</t>
        </is>
      </c>
      <c r="B6" s="4" t="inlineStr">
        <is>
          <t>Construtor DIY</t>
        </is>
      </c>
      <c r="C6" s="5" t="n">
        <v>0</v>
      </c>
      <c r="D6" s="5" t="n">
        <v>0</v>
      </c>
      <c r="E6" s="6" t="n"/>
      <c r="F6" s="4" t="inlineStr">
        <is>
          <t>Imediato</t>
        </is>
      </c>
      <c r="G6" s="4" t="inlineStr">
        <is>
          <t>Template pronto. O próprio dono monta, escreve e publica.</t>
        </is>
      </c>
      <c r="H6" s="4" t="inlineStr">
        <is>
          <t>Dono que tem tempo e paciência</t>
        </is>
      </c>
      <c r="I6" s="4" t="inlineStr">
        <is>
          <t>O custo real é o tempo do dono; sem conteúdo, sem foto, sem SEO. Quase sempre para no meio.</t>
        </is>
      </c>
      <c r="J6" s="4" t="inlineStr">
        <is>
          <t>Estimado — mensalidade não verificada</t>
        </is>
      </c>
    </row>
    <row r="7" ht="96" customHeight="1">
      <c r="A7" s="4" t="inlineStr">
        <is>
          <t>Freelancer (99Freelas / Workana / indicação)</t>
        </is>
      </c>
      <c r="B7" s="4" t="inlineStr">
        <is>
          <t>Pessoa física</t>
        </is>
      </c>
      <c r="C7" s="5" t="n">
        <v>1500</v>
      </c>
      <c r="D7" s="5" t="n">
        <v>8000</v>
      </c>
      <c r="E7" s="6" t="n"/>
      <c r="F7" s="4" t="inlineStr">
        <is>
          <t>Variável</t>
        </is>
      </c>
      <c r="G7" s="4" t="inlineStr">
        <is>
          <t>Site sob medida, sem processo definido.</t>
        </is>
      </c>
      <c r="H7" s="4" t="inlineStr">
        <is>
          <t>PME que 'conhece alguém que faz site'</t>
        </is>
      </c>
      <c r="I7" s="4" t="inlineStr">
        <is>
          <t>Risco de abandono do projeto, qualidade variável, sem suporte depois da entrega</t>
        </is>
      </c>
      <c r="J7" s="4" t="inlineStr">
        <is>
          <t>Verificado — faixa de mercado 2026</t>
        </is>
      </c>
    </row>
    <row r="8" ht="96" customHeight="1">
      <c r="A8" s="4" t="inlineStr">
        <is>
          <t>Agência local — institucional simples</t>
        </is>
      </c>
      <c r="B8" s="4" t="inlineStr">
        <is>
          <t>Agência</t>
        </is>
      </c>
      <c r="C8" s="5" t="n">
        <v>2500</v>
      </c>
      <c r="D8" s="5" t="n">
        <v>4500</v>
      </c>
      <c r="E8" s="6" t="n"/>
      <c r="F8" s="4" t="inlineStr">
        <is>
          <t>15 a 30 dias</t>
        </is>
      </c>
      <c r="G8" s="4" t="inlineStr">
        <is>
          <t>Site institucional de até 5 páginas.</t>
        </is>
      </c>
      <c r="H8" s="4" t="inlineStr">
        <is>
          <t>PME em geral</t>
        </is>
      </c>
      <c r="I8" s="4" t="inlineStr">
        <is>
          <t>Não é especialista em escola: conteúdo genérico, não fala de matrícula, não conhece o funil de pai procurando escola</t>
        </is>
      </c>
      <c r="J8" s="4" t="inlineStr">
        <is>
          <t>Verificado — faixa de mercado 2026</t>
        </is>
      </c>
    </row>
    <row r="9" ht="96" customHeight="1">
      <c r="A9" s="4" t="inlineStr">
        <is>
          <t>Agência — institucional personalizado com SEO</t>
        </is>
      </c>
      <c r="B9" s="4" t="inlineStr">
        <is>
          <t>Agência</t>
        </is>
      </c>
      <c r="C9" s="5" t="n">
        <v>4500</v>
      </c>
      <c r="D9" s="5" t="n">
        <v>9000</v>
      </c>
      <c r="E9" s="6" t="n"/>
      <c r="F9" s="4" t="inlineStr">
        <is>
          <t>30 a 60 dias</t>
        </is>
      </c>
      <c r="G9" s="4" t="inlineStr">
        <is>
          <t>Site personalizado com trabalho de SEO.</t>
        </is>
      </c>
      <c r="H9" s="4" t="inlineStr">
        <is>
          <t>Empresa média</t>
        </is>
      </c>
      <c r="I9" s="4" t="inlineStr">
        <is>
          <t>Preço fora do bolso da escola de bairro; não entrega plano de Google Negócios nem estratégia de avaliações</t>
        </is>
      </c>
      <c r="J9" s="4" t="inlineStr">
        <is>
          <t>Verificado — faixa de mercado 2026</t>
        </is>
      </c>
    </row>
    <row r="10" ht="96" customHeight="1">
      <c r="A10" s="4" t="inlineStr">
        <is>
          <t>Landing page de conversão</t>
        </is>
      </c>
      <c r="B10" s="4" t="inlineStr">
        <is>
          <t>Agência / freelancer</t>
        </is>
      </c>
      <c r="C10" s="5" t="n">
        <v>1500</v>
      </c>
      <c r="D10" s="5" t="n">
        <v>4000</v>
      </c>
      <c r="E10" s="6" t="n"/>
      <c r="F10" s="4" t="inlineStr">
        <is>
          <t>7 a 15 dias</t>
        </is>
      </c>
      <c r="G10" s="4" t="inlineStr">
        <is>
          <t>Página única focada em conversão.</t>
        </is>
      </c>
      <c r="H10" s="4" t="inlineStr">
        <is>
          <t>Quem já roda tráfego pago</t>
        </is>
      </c>
      <c r="I10" s="4" t="inlineStr">
        <is>
          <t>Uma página = um alvo no Google. Não ranqueia para as buscas de bairro.</t>
        </is>
      </c>
      <c r="J10" s="4" t="inlineStr">
        <is>
          <t>Verificado — faixa de mercado 2026</t>
        </is>
      </c>
    </row>
    <row r="11" ht="96" customHeight="1">
      <c r="A11" s="4" t="inlineStr">
        <is>
          <t>ERP escolar com site incluso (Sponte, WPensar, Escolas Web)</t>
        </is>
      </c>
      <c r="B11" s="4" t="inlineStr">
        <is>
          <t>Sistema de gestão</t>
        </is>
      </c>
      <c r="C11" s="5" t="n"/>
      <c r="D11" s="5" t="n"/>
      <c r="E11" s="6" t="n"/>
      <c r="F11" s="4" t="inlineStr">
        <is>
          <t>—</t>
        </is>
      </c>
      <c r="G11" s="4" t="inlineStr">
        <is>
          <t>Site entra como brinde da mensalidade do sistema de gestão.</t>
        </is>
      </c>
      <c r="H11" s="4" t="inlineStr">
        <is>
          <t>Escola que já paga o ERP</t>
        </is>
      </c>
      <c r="I11" s="4" t="inlineStr">
        <is>
          <t>Template idêntico entre todas as escolas do sistema, sem SEO local, sem conteúdo próprio</t>
        </is>
      </c>
      <c r="J11" s="4" t="inlineStr">
        <is>
          <t>NÃO VERIFICADO — confirmar preços antes de usar em reunião</t>
        </is>
      </c>
    </row>
    <row r="12" ht="96" customHeight="1">
      <c r="A12" s="7" t="inlineStr">
        <is>
          <t>Aceleradora EDU (você)</t>
        </is>
      </c>
      <c r="B12" s="7" t="inlineStr">
        <is>
          <t>Especialista em escola</t>
        </is>
      </c>
      <c r="C12" s="8" t="n">
        <v>4500</v>
      </c>
      <c r="D12" s="8" t="n">
        <v>4500</v>
      </c>
      <c r="E12" s="9" t="n">
        <v>350</v>
      </c>
      <c r="F12" s="7" t="inlineStr">
        <is>
          <t>—</t>
        </is>
      </c>
      <c r="G12" s="7" t="inlineStr">
        <is>
          <t>Pesquisa do lead (Google Maps + resenhas + Instagram), texto escrito a partir de resenha real de mãe, fotos geradas por IA com a farda e o logo da escola, site completo com quiz, galeria, FAQ e duas trilhas de matrícula, estudo de SEO local, plano de Google Negócios, estratégia de avaliações, páginas por bairro. Cliente leva os arquivos.</t>
        </is>
      </c>
      <c r="H12" s="7" t="inlineStr">
        <is>
          <t>Escola particular de bairro, mensalidade R$ 800+</t>
        </is>
      </c>
      <c r="I12" s="7" t="inlineStr">
        <is>
          <t>Preço 4x a 9x o da C2TI no setup — só fecha se a conta do LTV vier ANTES do site</t>
        </is>
      </c>
      <c r="J12" s="7" t="inlineStr">
        <is>
          <t>Interno — tabela da skill sites-para-escolas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O que o cliente realmente paga em 3 anos</t>
        </is>
      </c>
    </row>
    <row r="2">
      <c r="A2" s="2" t="inlineStr">
        <is>
          <t>A C2TI não custa R$ 500. Custa R$ 500 mais uma mensalidade que nunca para. Compare no mesmo prazo.</t>
        </is>
      </c>
    </row>
    <row r="4">
      <c r="A4" s="10" t="inlineStr">
        <is>
          <t>Anos de comparação</t>
        </is>
      </c>
      <c r="B4" s="11" t="n">
        <v>3</v>
      </c>
    </row>
    <row r="6">
      <c r="A6" s="3" t="inlineStr">
        <is>
          <t>Cenário</t>
        </is>
      </c>
      <c r="B6" s="3" t="inlineStr">
        <is>
          <t>Setup</t>
        </is>
      </c>
      <c r="C6" s="3" t="inlineStr">
        <is>
          <t>Mensalidade</t>
        </is>
      </c>
      <c r="D6" s="3" t="inlineStr">
        <is>
          <t>Custo dos meses</t>
        </is>
      </c>
      <c r="E6" s="3" t="inlineStr">
        <is>
          <t>Total no período</t>
        </is>
      </c>
      <c r="F6" s="3" t="inlineStr">
        <is>
          <t>x vezes a C2TI barata</t>
        </is>
      </c>
    </row>
    <row r="7">
      <c r="A7" s="12" t="inlineStr">
        <is>
          <t>C2TI — piso da tabela</t>
        </is>
      </c>
      <c r="B7" s="13" t="n">
        <v>500</v>
      </c>
      <c r="C7" s="14" t="n">
        <v>59.9</v>
      </c>
      <c r="D7" s="15">
        <f>C7*12*$B$4</f>
        <v/>
      </c>
      <c r="E7" s="15">
        <f>B7+D7</f>
        <v/>
      </c>
      <c r="F7" s="16">
        <f>E7/$E$7</f>
        <v/>
      </c>
    </row>
    <row r="8">
      <c r="A8" s="12" t="inlineStr">
        <is>
          <t>C2TI — teto da tabela</t>
        </is>
      </c>
      <c r="B8" s="13" t="n">
        <v>1200</v>
      </c>
      <c r="C8" s="14" t="n">
        <v>59.9</v>
      </c>
      <c r="D8" s="15">
        <f>C8*12*$B$4</f>
        <v/>
      </c>
      <c r="E8" s="15">
        <f>B8+D8</f>
        <v/>
      </c>
      <c r="F8" s="16">
        <f>E8/$E$7</f>
        <v/>
      </c>
    </row>
    <row r="9">
      <c r="A9" s="12" t="inlineStr">
        <is>
          <t>Freelancer R$ 2.000 sem mensal</t>
        </is>
      </c>
      <c r="B9" s="13" t="n">
        <v>2000</v>
      </c>
      <c r="C9" s="14" t="n">
        <v>0</v>
      </c>
      <c r="D9" s="15">
        <f>C9*12*$B$4</f>
        <v/>
      </c>
      <c r="E9" s="15">
        <f>B9+D9</f>
        <v/>
      </c>
      <c r="F9" s="16">
        <f>E9/$E$7</f>
        <v/>
      </c>
    </row>
    <row r="10">
      <c r="A10" s="12" t="inlineStr">
        <is>
          <t>Agência institucional simples</t>
        </is>
      </c>
      <c r="B10" s="13" t="n">
        <v>3500</v>
      </c>
      <c r="C10" s="14" t="n">
        <v>0</v>
      </c>
      <c r="D10" s="15">
        <f>C10*12*$B$4</f>
        <v/>
      </c>
      <c r="E10" s="15">
        <f>B10+D10</f>
        <v/>
      </c>
      <c r="F10" s="16">
        <f>E10/$E$7</f>
        <v/>
      </c>
    </row>
    <row r="11">
      <c r="A11" s="17" t="inlineStr">
        <is>
          <t>Aceleradora EDU</t>
        </is>
      </c>
      <c r="B11" s="18" t="n">
        <v>4500</v>
      </c>
      <c r="C11" s="19" t="n">
        <v>350</v>
      </c>
      <c r="D11" s="18">
        <f>C11*12*$B$4</f>
        <v/>
      </c>
      <c r="E11" s="18">
        <f>B11+D11</f>
        <v/>
      </c>
      <c r="F11" s="20">
        <f>E11/$E$7</f>
        <v/>
      </c>
    </row>
    <row r="13">
      <c r="A13" s="2" t="inlineStr">
        <is>
          <t>Leitura: no setup você é 9,0x o piso da C2TI (R$ 4.500 contra R$ 500). Em 3 anos de contrato a distância cai para 6,4x o piso e 5,1x o teto dela. É essa a conta que vai para a reunião, não a do setup — e é ela que torna a diferença defensável.</t>
        </is>
      </c>
    </row>
  </sheetData>
  <mergeCells count="1">
    <mergeCell ref="A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Por que você consegue cobrar caro — e quando não consegue</t>
        </is>
      </c>
    </row>
    <row r="2">
      <c r="A2" s="2" t="inlineStr">
        <is>
          <t>Células amarelas: preencher com os dados reais da escola antes da reunião.</t>
        </is>
      </c>
    </row>
    <row r="4">
      <c r="A4" s="21" t="inlineStr">
        <is>
          <t>Dados da escola</t>
        </is>
      </c>
      <c r="B4" s="22" t="inlineStr"/>
    </row>
    <row r="5">
      <c r="A5" s="10" t="inlineStr">
        <is>
          <t>Mensalidade média (R$)</t>
        </is>
      </c>
      <c r="B5" s="23" t="n">
        <v>1200</v>
      </c>
    </row>
    <row r="6">
      <c r="A6" s="10" t="inlineStr">
        <is>
          <t>Meses cobrados por ano</t>
        </is>
      </c>
      <c r="B6" s="24" t="n">
        <v>11</v>
      </c>
    </row>
    <row r="7">
      <c r="A7" s="10" t="inlineStr">
        <is>
          <t>Anos de permanência do aluno</t>
        </is>
      </c>
      <c r="B7" s="24" t="n">
        <v>5</v>
      </c>
    </row>
    <row r="9">
      <c r="A9" s="10" t="inlineStr">
        <is>
          <t>LTV de UM aluno</t>
        </is>
      </c>
      <c r="B9" s="25">
        <f>B5*B6*B7</f>
        <v/>
      </c>
    </row>
    <row r="11">
      <c r="A11" s="21" t="inlineStr">
        <is>
          <t>Comparação com o preço</t>
        </is>
      </c>
      <c r="B11" s="22" t="inlineStr"/>
    </row>
    <row r="12">
      <c r="A12" s="10" t="inlineStr">
        <is>
          <t>Seu setup</t>
        </is>
      </c>
      <c r="B12" s="15">
        <f>Concorrentes!C12</f>
        <v/>
      </c>
    </row>
    <row r="13">
      <c r="A13" s="10" t="inlineStr">
        <is>
          <t>Seu preço em 3 anos (setup + mensal)</t>
        </is>
      </c>
      <c r="B13" s="15">
        <f>TCO_3anos!E11</f>
        <v/>
      </c>
    </row>
    <row r="14">
      <c r="A14" s="10" t="inlineStr">
        <is>
          <t>C2TI piso em 3 anos</t>
        </is>
      </c>
      <c r="B14" s="15">
        <f>TCO_3anos!E7</f>
        <v/>
      </c>
    </row>
    <row r="15">
      <c r="A15" s="10" t="inlineStr">
        <is>
          <t>Seu preço de 3 anos como % do LTV de 1 aluno</t>
        </is>
      </c>
      <c r="B15" s="26">
        <f>B13/B9</f>
        <v/>
      </c>
    </row>
    <row r="16">
      <c r="A16" s="10" t="inlineStr">
        <is>
          <t>1 matrícula paga o SETUP (x vezes)</t>
        </is>
      </c>
      <c r="B16" s="16">
        <f>B9/B12</f>
        <v/>
      </c>
    </row>
    <row r="17">
      <c r="A17" s="10" t="inlineStr">
        <is>
          <t>1 matrícula paga os 3 ANOS (x vezes)</t>
        </is>
      </c>
      <c r="B17" s="16">
        <f>B9/B13</f>
        <v/>
      </c>
    </row>
    <row r="19">
      <c r="A19" s="21" t="inlineStr">
        <is>
          <t>Onde o preço alto SE SUSTENTA</t>
        </is>
      </c>
      <c r="B19" s="22" t="inlineStr"/>
    </row>
    <row r="20">
      <c r="A20" s="27" t="inlineStr">
        <is>
          <t>✔ Escola com mensalidade de R$ 800 ou mais — o LTV de um aluno paga o site dezenas de vezes</t>
        </is>
      </c>
    </row>
    <row r="21">
      <c r="A21" s="27" t="inlineStr">
        <is>
          <t>✔ Escola com 5 ou mais avaliações e nota 4,0+ — há matéria-prima real para escrever e ela já tem reputação a defender</t>
        </is>
      </c>
    </row>
    <row r="22">
      <c r="A22" s="27" t="inlineStr">
        <is>
          <t>✔ Escola com 10+ anos de casa — tem caixa, não vai fechar, e o tempo de casa vira o argumento do site</t>
        </is>
      </c>
    </row>
    <row r="23">
      <c r="A23" s="27" t="inlineStr">
        <is>
          <t>✔ Escola que JÁ gasta com marketing (impulsiona post, tem designer) — o orçamento existe, você só o redireciona</t>
        </is>
      </c>
    </row>
    <row r="24">
      <c r="A24" s="27" t="inlineStr">
        <is>
          <t>✔ Escola que é unidade de uma REDE — a proposta deixa de ser de um site e passa a ser do grupo</t>
        </is>
      </c>
    </row>
    <row r="26">
      <c r="A26" s="21" t="inlineStr">
        <is>
          <t>Onde o preço alto NÃO se sustenta — desqualifique o lead</t>
        </is>
      </c>
      <c r="B26" s="22" t="inlineStr"/>
    </row>
    <row r="27">
      <c r="A27" s="27" t="inlineStr">
        <is>
          <t>✘ Escola que só quer 'uma paginazinha para ter presença' — contra essa necessidade a C2TI de R$ 500 ganha, e ganha com razão</t>
        </is>
      </c>
    </row>
    <row r="28">
      <c r="A28" s="27" t="inlineStr">
        <is>
          <t>✘ Escola com mensalidade abaixo de R$ 500 — o LTV não sustenta a conta e ela vai regatear até o fim</t>
        </is>
      </c>
    </row>
    <row r="29">
      <c r="A29" s="27" t="inlineStr">
        <is>
          <t>✘ Escola sem avaliação nenhuma e sem Instagram — não há matéria-prima; o site sai genérico e vira commodity</t>
        </is>
      </c>
    </row>
    <row r="30">
      <c r="A30" s="27" t="inlineStr">
        <is>
          <t>✘ Curso livre e curso de idioma — mensalidade R$ 150 a R$ 400 e permanência de 18 meses, LTV baixo demais</t>
        </is>
      </c>
    </row>
    <row r="31">
      <c r="A31" s="27" t="inlineStr">
        <is>
          <t>✘ Reunião onde ele viu o site ANTES da conta do LTV — o cérebro dele ancorou em 'quanto custa uma página' e você já perdeu</t>
        </is>
      </c>
    </row>
    <row r="33">
      <c r="A33" s="21" t="inlineStr">
        <is>
          <t>A brecha da C2TI — use na reunião</t>
        </is>
      </c>
      <c r="B33" s="22" t="inlineStr"/>
    </row>
    <row r="34">
      <c r="A34" s="27" t="inlineStr">
        <is>
          <t>→ Prazo: prometem 5 dias úteis. O Reclame Aqui registra entregas de 30 a 135 dias.</t>
        </is>
      </c>
    </row>
    <row r="35">
      <c r="A35" s="27" t="inlineStr">
        <is>
          <t>→ Posse: o site vive no CMS .aspx deles. Parou de pagar a mensalidade, o site sai do ar. Você entrega os arquivos e a escola é dona.</t>
        </is>
      </c>
    </row>
    <row r="36">
      <c r="A36" s="27" t="inlineStr">
        <is>
          <t>→ Conteúdo: eles pedem o texto ao cliente. Você escreve a partir das resenhas reais das mães e das legendas do Instagram dela.</t>
        </is>
      </c>
    </row>
    <row r="37">
      <c r="A37" s="27" t="inlineStr">
        <is>
          <t>→ Foto: eles usam banco de imagem. Você gera foto com a farda e o logo reais da escola — e criança de IA não tem direito de imagem para renovar.</t>
        </is>
      </c>
    </row>
    <row r="38">
      <c r="A38" s="27" t="inlineStr">
        <is>
          <t>→ SEO local: eles entregam o site. Você entrega o plano de Google Negócios, a estratégia de avaliações e as páginas por bairro — que é o que de fato ranqueia.</t>
        </is>
      </c>
    </row>
  </sheetData>
  <mergeCells count="15">
    <mergeCell ref="A23:D23"/>
    <mergeCell ref="A37:D37"/>
    <mergeCell ref="A27:D27"/>
    <mergeCell ref="A31:D31"/>
    <mergeCell ref="A22:D22"/>
    <mergeCell ref="A34:D34"/>
    <mergeCell ref="A35:D35"/>
    <mergeCell ref="A20:D20"/>
    <mergeCell ref="A21:D21"/>
    <mergeCell ref="A30:D30"/>
    <mergeCell ref="A38:D38"/>
    <mergeCell ref="A29:D29"/>
    <mergeCell ref="A24:D24"/>
    <mergeCell ref="A28:D28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66" customWidth="1" min="3" max="3"/>
  </cols>
  <sheetData>
    <row r="1">
      <c r="A1" s="1" t="inlineStr">
        <is>
          <t>Fontes consultadas em 15/08/2026</t>
        </is>
      </c>
    </row>
    <row r="3">
      <c r="A3" s="28" t="inlineStr">
        <is>
          <t>Fonte</t>
        </is>
      </c>
      <c r="B3" s="28" t="inlineStr">
        <is>
          <t>Link</t>
        </is>
      </c>
      <c r="C3" s="28" t="inlineStr">
        <is>
          <t>O que foi extraído</t>
        </is>
      </c>
    </row>
    <row r="4" ht="44" customHeight="1">
      <c r="A4" s="4" t="inlineStr">
        <is>
          <t>C2TI — página de criação de sites</t>
        </is>
      </c>
      <c r="B4" s="4" t="inlineStr">
        <is>
          <t>https://c2ti.com.br/w/Site/criacao-de-sites.aspx</t>
        </is>
      </c>
      <c r="C4" s="4" t="inlineStr">
        <is>
          <t>Faixa R$ 500 a R$ 1.200; manutenção a partir de R$ 59,90/mês do 2º mês; adicional de R$ 8,90/mês; garantia de 7 dias; escopo do plano</t>
        </is>
      </c>
    </row>
    <row r="5" ht="44" customHeight="1">
      <c r="A5" s="4" t="inlineStr">
        <is>
          <t>C2TI — landing de site profissional</t>
        </is>
      </c>
      <c r="B5" s="4" t="inlineStr">
        <is>
          <t>https://conteudo.c2ti.com.br/criacao-site-profissional-m</t>
        </is>
      </c>
      <c r="C5" s="4" t="inlineStr">
        <is>
          <t>+7.000 projetos, 15+ anos</t>
        </is>
      </c>
    </row>
    <row r="6" ht="44" customHeight="1">
      <c r="A6" s="4" t="inlineStr">
        <is>
          <t>Reclame Aqui — C2TI Softwares</t>
        </is>
      </c>
      <c r="B6" s="4" t="inlineStr">
        <is>
          <t>https://www.reclameaqui.com.br/empresa/c2ti-softwares/</t>
        </is>
      </c>
      <c r="C6" s="4" t="inlineStr">
        <is>
          <t>92,9% de reclamações resolvidas; casos de atraso de 30 e de 135 dias; disputas de reembolso</t>
        </is>
      </c>
    </row>
    <row r="7" ht="44" customHeight="1">
      <c r="A7" s="4" t="inlineStr">
        <is>
          <t>SEO Criação — tabela de preços 2026</t>
        </is>
      </c>
      <c r="B7" s="4" t="inlineStr">
        <is>
          <t>https://seocriacao.com.br/quanto-custa-criar-um-site-profissional-em-2026/</t>
        </is>
      </c>
      <c r="C7" s="4" t="inlineStr">
        <is>
          <t>Landing R$ 1.500–4.000; institucional simples R$ 2.500–4.500; institucional com SEO R$ 4.500–9.000</t>
        </is>
      </c>
    </row>
    <row r="8" ht="44" customHeight="1">
      <c r="A8" s="4" t="inlineStr">
        <is>
          <t>Wix Brasil — quanto custa um site</t>
        </is>
      </c>
      <c r="B8" s="4" t="inlineStr">
        <is>
          <t>https://pt.wix.com/blog/quanto-custa-um-site-profissional</t>
        </is>
      </c>
      <c r="C8" s="4" t="inlineStr">
        <is>
          <t>Site profissional R$ 3.000–12.000 no mercado brasileiro</t>
        </is>
      </c>
    </row>
    <row r="9" ht="44" customHeight="1">
      <c r="A9" s="4" t="inlineStr">
        <is>
          <t>Skill interna sites-para-escolas</t>
        </is>
      </c>
      <c r="B9" s="4" t="inlineStr">
        <is>
          <t>—</t>
        </is>
      </c>
      <c r="C9" s="4" t="inlineStr">
        <is>
          <t>Tabela da Aceleradora: R$ 4.500 de setup + R$ 350/mês; LTV por tipo de escola; ordem da reunião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2026-08-15T02:16:53Z</dcterms:created>
  <dcterms:modified xsi:type="dcterms:W3CDTF">2026-08-15T02:16:53Z</dcterms:modified>
</cp:coreProperties>
</file>